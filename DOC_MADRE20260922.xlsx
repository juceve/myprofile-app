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RFILES\julio.veliz\Documents\"/>
    </mc:Choice>
  </mc:AlternateContent>
  <xr:revisionPtr revIDLastSave="0" documentId="8_{221C8685-8CA1-48A4-88CB-1D3C67E7D8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RTERA BBO SA (12-08-2026)" sheetId="1" r:id="rId1"/>
  </sheets>
  <definedNames>
    <definedName name="DatosExternos_1" localSheetId="0" hidden="1">'CARTERA BBO SA (12-08-2026)'!$A$1:$X$10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" i="1" l="1"/>
  <c r="AQ10" i="1"/>
  <c r="AA10" i="1"/>
  <c r="Z10" i="1"/>
  <c r="AF10" i="1" s="1"/>
  <c r="AS9" i="1"/>
  <c r="AQ9" i="1"/>
  <c r="AG9" i="1"/>
  <c r="AA9" i="1"/>
  <c r="Z9" i="1"/>
  <c r="AF9" i="1" s="1"/>
  <c r="AS8" i="1"/>
  <c r="AQ8" i="1"/>
  <c r="AA8" i="1"/>
  <c r="Z8" i="1"/>
  <c r="AE8" i="1" s="1"/>
  <c r="AS7" i="1"/>
  <c r="AQ7" i="1"/>
  <c r="AA7" i="1"/>
  <c r="Z7" i="1"/>
  <c r="AS6" i="1"/>
  <c r="AQ6" i="1"/>
  <c r="AA6" i="1"/>
  <c r="Z6" i="1"/>
  <c r="AF6" i="1" s="1"/>
  <c r="AS5" i="1"/>
  <c r="AQ5" i="1"/>
  <c r="AK5" i="1"/>
  <c r="AJ5" i="1"/>
  <c r="AI5" i="1"/>
  <c r="AN5" i="1" s="1"/>
  <c r="AH5" i="1"/>
  <c r="AG5" i="1"/>
  <c r="AM5" i="1" s="1"/>
  <c r="AA5" i="1"/>
  <c r="Z5" i="1"/>
  <c r="AF5" i="1" s="1"/>
  <c r="AS4" i="1"/>
  <c r="AQ4" i="1"/>
  <c r="AA4" i="1"/>
  <c r="Z4" i="1"/>
  <c r="AE4" i="1" s="1"/>
  <c r="AS3" i="1"/>
  <c r="AQ3" i="1"/>
  <c r="AA3" i="1"/>
  <c r="Z3" i="1"/>
  <c r="AJ3" i="1" s="1"/>
  <c r="AS2" i="1"/>
  <c r="AQ2" i="1"/>
  <c r="AA2" i="1"/>
  <c r="Z2" i="1"/>
  <c r="AF2" i="1" s="1"/>
  <c r="AH9" i="1" l="1"/>
  <c r="AM9" i="1" s="1"/>
  <c r="AI9" i="1"/>
  <c r="AJ9" i="1"/>
  <c r="AK9" i="1"/>
  <c r="AF4" i="1"/>
  <c r="AI4" i="1"/>
  <c r="AI8" i="1"/>
  <c r="AG8" i="1"/>
  <c r="AK4" i="1"/>
  <c r="AK8" i="1"/>
  <c r="AC10" i="1"/>
  <c r="AE10" i="1"/>
  <c r="AL10" i="1" s="1"/>
  <c r="AJ4" i="1"/>
  <c r="AC5" i="1"/>
  <c r="AD5" i="1"/>
  <c r="AP5" i="1" s="1"/>
  <c r="AD9" i="1"/>
  <c r="AG4" i="1"/>
  <c r="AR4" i="1" s="1"/>
  <c r="AU4" i="1" s="1"/>
  <c r="AJ8" i="1"/>
  <c r="AE9" i="1"/>
  <c r="AL9" i="1" s="1"/>
  <c r="AC9" i="1"/>
  <c r="AP9" i="1" s="1"/>
  <c r="AE5" i="1"/>
  <c r="AL5" i="1" s="1"/>
  <c r="AF8" i="1"/>
  <c r="AL8" i="1" s="1"/>
  <c r="AH4" i="1"/>
  <c r="AH8" i="1"/>
  <c r="AI7" i="1"/>
  <c r="AE7" i="1"/>
  <c r="AH7" i="1"/>
  <c r="AG7" i="1"/>
  <c r="AF7" i="1"/>
  <c r="AC7" i="1"/>
  <c r="AD7" i="1"/>
  <c r="AK3" i="1"/>
  <c r="AJ7" i="1"/>
  <c r="AK7" i="1"/>
  <c r="AK2" i="1"/>
  <c r="AG2" i="1"/>
  <c r="AJ2" i="1"/>
  <c r="AI2" i="1"/>
  <c r="AH2" i="1"/>
  <c r="AD2" i="1"/>
  <c r="AK6" i="1"/>
  <c r="AG6" i="1"/>
  <c r="AI6" i="1"/>
  <c r="AJ6" i="1"/>
  <c r="AH6" i="1"/>
  <c r="AD6" i="1"/>
  <c r="AC2" i="1"/>
  <c r="AI10" i="1"/>
  <c r="AK10" i="1"/>
  <c r="AJ10" i="1"/>
  <c r="AH10" i="1"/>
  <c r="AG10" i="1"/>
  <c r="AD10" i="1"/>
  <c r="AE2" i="1"/>
  <c r="AL2" i="1" s="1"/>
  <c r="AC6" i="1"/>
  <c r="AR5" i="1"/>
  <c r="AU5" i="1" s="1"/>
  <c r="AE6" i="1"/>
  <c r="AL6" i="1" s="1"/>
  <c r="AI3" i="1"/>
  <c r="AH3" i="1"/>
  <c r="AG3" i="1"/>
  <c r="AF3" i="1"/>
  <c r="AE3" i="1"/>
  <c r="AL3" i="1" s="1"/>
  <c r="AC3" i="1"/>
  <c r="AD3" i="1"/>
  <c r="AO9" i="1"/>
  <c r="AL4" i="1"/>
  <c r="AC8" i="1"/>
  <c r="AD4" i="1"/>
  <c r="AD8" i="1"/>
  <c r="AC4" i="1"/>
  <c r="AN9" i="1" l="1"/>
  <c r="AR9" i="1"/>
  <c r="AU9" i="1" s="1"/>
  <c r="AN2" i="1"/>
  <c r="AN4" i="1"/>
  <c r="AM4" i="1"/>
  <c r="AO5" i="1"/>
  <c r="AN3" i="1"/>
  <c r="AR8" i="1"/>
  <c r="AU8" i="1" s="1"/>
  <c r="AM8" i="1"/>
  <c r="AN8" i="1"/>
  <c r="AP7" i="1"/>
  <c r="AO7" i="1"/>
  <c r="AO4" i="1"/>
  <c r="AP4" i="1"/>
  <c r="AM10" i="1"/>
  <c r="AR10" i="1"/>
  <c r="AU10" i="1" s="1"/>
  <c r="AP3" i="1"/>
  <c r="AO3" i="1"/>
  <c r="AR3" i="1"/>
  <c r="AU3" i="1" s="1"/>
  <c r="AM3" i="1"/>
  <c r="AN10" i="1"/>
  <c r="AR7" i="1"/>
  <c r="AU7" i="1" s="1"/>
  <c r="AM7" i="1"/>
  <c r="AP2" i="1"/>
  <c r="AO2" i="1"/>
  <c r="AP8" i="1"/>
  <c r="AO8" i="1"/>
  <c r="AN6" i="1"/>
  <c r="AL7" i="1"/>
  <c r="AM6" i="1"/>
  <c r="AR6" i="1"/>
  <c r="AU6" i="1" s="1"/>
  <c r="AN7" i="1"/>
  <c r="AM2" i="1"/>
  <c r="AR2" i="1"/>
  <c r="AU2" i="1" s="1"/>
  <c r="AO6" i="1"/>
  <c r="AP6" i="1"/>
  <c r="AO10" i="1"/>
  <c r="AP10" i="1"/>
</calcChain>
</file>

<file path=xl/sharedStrings.xml><?xml version="1.0" encoding="utf-8"?>
<sst xmlns="http://schemas.openxmlformats.org/spreadsheetml/2006/main" count="155" uniqueCount="88">
  <si>
    <t>Fecha</t>
  </si>
  <si>
    <t>NumDoc</t>
  </si>
  <si>
    <t>Importe</t>
  </si>
  <si>
    <t>Saldo</t>
  </si>
  <si>
    <t>Vence</t>
  </si>
  <si>
    <t>Antiguedad</t>
  </si>
  <si>
    <t>Anticuacion</t>
  </si>
  <si>
    <t>Rango</t>
  </si>
  <si>
    <t>Cliente</t>
  </si>
  <si>
    <t>cliLugar</t>
  </si>
  <si>
    <t>entNombreJefeVendedor</t>
  </si>
  <si>
    <t>entNombreSupervisor</t>
  </si>
  <si>
    <t>entNombreVendedor</t>
  </si>
  <si>
    <t>Plazo</t>
  </si>
  <si>
    <t>FechaUltimoPago</t>
  </si>
  <si>
    <t>ciuNombre</t>
  </si>
  <si>
    <t>CodigoCliente</t>
  </si>
  <si>
    <t>LimiteCredito</t>
  </si>
  <si>
    <t>rutId</t>
  </si>
  <si>
    <t>CoordenadaX</t>
  </si>
  <si>
    <t>CoordenadaY</t>
  </si>
  <si>
    <t>Telefono</t>
  </si>
  <si>
    <t>Estado</t>
  </si>
  <si>
    <t>DIRECCION</t>
  </si>
  <si>
    <t>FECHA_CARGA</t>
  </si>
  <si>
    <t>Dias</t>
  </si>
  <si>
    <t>%</t>
  </si>
  <si>
    <t>Marca-1</t>
  </si>
  <si>
    <t>01 - 30</t>
  </si>
  <si>
    <t>31 - 60</t>
  </si>
  <si>
    <t>61 - 90</t>
  </si>
  <si>
    <t>91 - 120</t>
  </si>
  <si>
    <t>121 - 150</t>
  </si>
  <si>
    <t>151 - 180</t>
  </si>
  <si>
    <t>181-210</t>
  </si>
  <si>
    <t>211-250</t>
  </si>
  <si>
    <t>mas 251</t>
  </si>
  <si>
    <t>Mas 60 menor 120</t>
  </si>
  <si>
    <t>total mas de 120 dias</t>
  </si>
  <si>
    <t>total mas de 180 dias</t>
  </si>
  <si>
    <t>Total Vigente</t>
  </si>
  <si>
    <t>Total Vencido</t>
  </si>
  <si>
    <t>Total Cartera</t>
  </si>
  <si>
    <t>Provisión</t>
  </si>
  <si>
    <t>Plazo2</t>
  </si>
  <si>
    <t>Corte Plazos</t>
  </si>
  <si>
    <t>Dif.</t>
  </si>
  <si>
    <t>mas de 150</t>
  </si>
  <si>
    <t>VENCIDAS</t>
  </si>
  <si>
    <t>JORGE PIZARRO CUELLAR</t>
  </si>
  <si>
    <t>CIUDAD</t>
  </si>
  <si>
    <t>ARACELY PRADO GIL</t>
  </si>
  <si>
    <t>SUPERVISOR ZONA 4</t>
  </si>
  <si>
    <t>JOSE FERNANDO TORREZ CARRILLO</t>
  </si>
  <si>
    <t xml:space="preserve">SANTA CRUZ </t>
  </si>
  <si>
    <t>399178</t>
  </si>
  <si>
    <t>70442186</t>
  </si>
  <si>
    <t>A</t>
  </si>
  <si>
    <t>barrio los totaises</t>
  </si>
  <si>
    <t>MARIA JOSÉ ABREGO</t>
  </si>
  <si>
    <t>VENDEDOR HAKA</t>
  </si>
  <si>
    <t>821305</t>
  </si>
  <si>
    <t>60890154</t>
  </si>
  <si>
    <t>S/D</t>
  </si>
  <si>
    <t>MARIA EUGENIA VAZQUES</t>
  </si>
  <si>
    <t>823663</t>
  </si>
  <si>
    <t>65003555</t>
  </si>
  <si>
    <t>SAÚL POQUIVIQUI BARIQUI</t>
  </si>
  <si>
    <t>JOSETH RIOS MIRANDA</t>
  </si>
  <si>
    <t>398907</t>
  </si>
  <si>
    <t>71305100</t>
  </si>
  <si>
    <t>mercado nuevo abasto</t>
  </si>
  <si>
    <t>LIZETH VERONICA GUTIERREZ</t>
  </si>
  <si>
    <t>590363</t>
  </si>
  <si>
    <t>72658222</t>
  </si>
  <si>
    <t>B/san agustin c/6 #8641</t>
  </si>
  <si>
    <t>MARISOL ALMENDRA QUISPE</t>
  </si>
  <si>
    <t>821859</t>
  </si>
  <si>
    <t>73110872</t>
  </si>
  <si>
    <t>EDWIN DELGADILLO LIMACHI</t>
  </si>
  <si>
    <t>590585</t>
  </si>
  <si>
    <t>67775248</t>
  </si>
  <si>
    <t>av. el mechero licoreria los angeles</t>
  </si>
  <si>
    <t>KEVIN SALVATIERRA LUCANA</t>
  </si>
  <si>
    <t>Edy Nelson Toro Saldias</t>
  </si>
  <si>
    <t>40916</t>
  </si>
  <si>
    <t>65019250</t>
  </si>
  <si>
    <t>V.1MO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</si>
</sst>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8"/>
      <name val="Calibri"/>
      <family val="2"/>
    </font>
    <font>
      <b/>
      <strike/>
      <u/>
      <sz val="8"/>
      <name val="Calibri"/>
      <family val="2"/>
    </font>
    <font>
      <b/>
      <sz val="10"/>
      <name val="Arial"/>
      <family val="2"/>
    </font>
    <font>
      <sz val="8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5B3D7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95B3D7"/>
      </top>
      <bottom style="thin">
        <color rgb="FF95B3D7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2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6" borderId="0" xfId="0" applyFill="1"/>
    <xf numFmtId="164" fontId="0" fillId="0" borderId="0" xfId="0" applyNumberFormat="1"/>
    <xf numFmtId="4" fontId="0" fillId="0" borderId="0" xfId="0" applyNumberFormat="1"/>
    <xf numFmtId="0" fontId="0" fillId="7" borderId="0" xfId="0" applyFill="1"/>
    <xf numFmtId="0" fontId="4" fillId="0" borderId="0" xfId="0" applyFont="1"/>
    <xf numFmtId="164" fontId="5" fillId="2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164" fontId="5" fillId="5" borderId="1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5" fontId="8" fillId="0" borderId="3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9" fontId="2" fillId="0" borderId="4" xfId="1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 wrapText="1" readingOrder="1"/>
    </xf>
  </cellXfs>
  <cellStyles count="3">
    <cellStyle name="Normal" xfId="0" builtinId="0"/>
    <cellStyle name="Normal 2" xfId="2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"/>
  <sheetViews>
    <sheetView tabSelected="1" topLeftCell="U1" zoomScaleNormal="100" workbookViewId="0">
      <selection activeCell="X25" sqref="X25"/>
    </sheetView>
  </sheetViews>
  <sheetFormatPr baseColWidth="10" defaultRowHeight="15" x14ac:dyDescent="0.25"/>
  <cols>
    <col min="1" max="1" width="15.42578125" bestFit="1" customWidth="1"/>
    <col min="2" max="2" width="10.28515625" bestFit="1" customWidth="1"/>
    <col min="3" max="4" width="12.42578125" bestFit="1" customWidth="1"/>
    <col min="5" max="5" width="10.42578125" bestFit="1" customWidth="1"/>
    <col min="6" max="6" width="12.7109375" bestFit="1" customWidth="1"/>
    <col min="7" max="7" width="12.85546875" bestFit="1" customWidth="1"/>
    <col min="8" max="8" width="9.140625" bestFit="1" customWidth="1"/>
    <col min="9" max="9" width="43" bestFit="1" customWidth="1"/>
    <col min="10" max="10" width="18.140625" bestFit="1" customWidth="1"/>
    <col min="11" max="11" width="44.5703125" bestFit="1" customWidth="1"/>
    <col min="12" max="12" width="42.85546875" bestFit="1" customWidth="1"/>
    <col min="13" max="13" width="31.42578125" bestFit="1" customWidth="1"/>
    <col min="14" max="14" width="7.5703125" bestFit="1" customWidth="1"/>
    <col min="15" max="15" width="17.5703125" bestFit="1" customWidth="1"/>
    <col min="16" max="16" width="13.140625" bestFit="1" customWidth="1"/>
    <col min="17" max="17" width="14.5703125" bestFit="1" customWidth="1"/>
    <col min="18" max="18" width="14.42578125" bestFit="1" customWidth="1"/>
    <col min="19" max="19" width="7.28515625" bestFit="1" customWidth="1"/>
    <col min="20" max="21" width="14.42578125" bestFit="1" customWidth="1"/>
    <col min="22" max="22" width="13.28515625" bestFit="1" customWidth="1"/>
    <col min="23" max="23" width="8.85546875" bestFit="1" customWidth="1"/>
    <col min="24" max="24" width="80.7109375" bestFit="1" customWidth="1"/>
    <col min="25" max="25" width="14.140625" style="6" bestFit="1" customWidth="1"/>
    <col min="26" max="26" width="7.7109375" bestFit="1" customWidth="1"/>
    <col min="27" max="27" width="6.28515625" bestFit="1" customWidth="1"/>
    <col min="28" max="28" width="10.28515625" style="3" bestFit="1" customWidth="1"/>
    <col min="29" max="31" width="9.28515625" bestFit="1" customWidth="1"/>
    <col min="32" max="32" width="10" bestFit="1" customWidth="1"/>
    <col min="33" max="34" width="10.7109375" bestFit="1" customWidth="1"/>
    <col min="35" max="36" width="10" bestFit="1" customWidth="1"/>
    <col min="37" max="37" width="10.140625" bestFit="1" customWidth="1"/>
    <col min="38" max="38" width="16.5703125" bestFit="1" customWidth="1"/>
    <col min="39" max="40" width="21.42578125" bestFit="1" customWidth="1"/>
    <col min="41" max="41" width="13.42578125" bestFit="1" customWidth="1"/>
    <col min="42" max="42" width="13.7109375" bestFit="1" customWidth="1"/>
    <col min="43" max="43" width="13.28515625" bestFit="1" customWidth="1"/>
    <col min="44" max="44" width="11" bestFit="1" customWidth="1"/>
    <col min="45" max="45" width="9.140625" bestFit="1" customWidth="1"/>
    <col min="46" max="46" width="12.7109375" bestFit="1" customWidth="1"/>
    <col min="47" max="47" width="8.5703125" bestFit="1" customWidth="1"/>
  </cols>
  <sheetData>
    <row r="1" spans="1:47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9" t="s">
        <v>25</v>
      </c>
      <c r="AA1" s="10" t="s">
        <v>26</v>
      </c>
      <c r="AB1" s="11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2" t="s">
        <v>37</v>
      </c>
      <c r="AM1" s="13" t="s">
        <v>38</v>
      </c>
      <c r="AN1" s="13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4" t="s">
        <v>45</v>
      </c>
      <c r="AU1" s="15" t="s">
        <v>46</v>
      </c>
    </row>
    <row r="2" spans="1:47" x14ac:dyDescent="0.25">
      <c r="A2" s="1">
        <v>45189</v>
      </c>
      <c r="B2">
        <v>204469</v>
      </c>
      <c r="C2">
        <v>22729.99</v>
      </c>
      <c r="D2">
        <v>7529.99</v>
      </c>
      <c r="E2" s="2">
        <v>45219</v>
      </c>
      <c r="F2">
        <v>1027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>
        <v>30</v>
      </c>
      <c r="O2" s="1">
        <v>45925</v>
      </c>
      <c r="P2" t="s">
        <v>54</v>
      </c>
      <c r="Q2" t="s">
        <v>55</v>
      </c>
      <c r="R2">
        <v>0</v>
      </c>
      <c r="S2">
        <v>123</v>
      </c>
      <c r="T2">
        <v>-63.161045000000001</v>
      </c>
      <c r="U2">
        <v>-17.738448999999999</v>
      </c>
      <c r="V2" t="s">
        <v>56</v>
      </c>
      <c r="W2" t="s">
        <v>57</v>
      </c>
      <c r="X2" t="s">
        <v>58</v>
      </c>
      <c r="Y2" s="16">
        <v>46246</v>
      </c>
      <c r="Z2" s="17">
        <f t="shared" ref="Z2:Z10" si="0">+E2-Y2</f>
        <v>-1027</v>
      </c>
      <c r="AA2" s="18" t="e">
        <f>+#REF!/#REF!</f>
        <v>#REF!</v>
      </c>
      <c r="AC2" s="4">
        <f t="shared" ref="AC2:AC10" si="1">IF(AND(-Z2&gt;=1,-Z2&lt;=30),D2,0)</f>
        <v>0</v>
      </c>
      <c r="AD2" s="4">
        <f t="shared" ref="AD2:AD10" si="2">IF(AND(-Z2&gt;=31,-Z2&lt;=60),D2,0)</f>
        <v>0</v>
      </c>
      <c r="AE2" s="4">
        <f t="shared" ref="AE2:AE10" si="3">IF(AND(-Z2&gt;=61,-Z2&lt;=90),D2,0)</f>
        <v>0</v>
      </c>
      <c r="AF2" s="4">
        <f t="shared" ref="AF2:AF10" si="4">IF(AND(-Z2&gt;=91,-Z2&lt;=120),D2,0)</f>
        <v>0</v>
      </c>
      <c r="AG2" s="4">
        <f t="shared" ref="AG2:AG10" si="5">IF(AND(-Z2&gt;=121,-Z2&lt;=150),D2,0)</f>
        <v>0</v>
      </c>
      <c r="AH2" s="4">
        <f t="shared" ref="AH2:AH10" si="6">IF(AND(-Z2&gt;=151,-Z2&lt;=180),D2,0)</f>
        <v>0</v>
      </c>
      <c r="AI2" s="4">
        <f t="shared" ref="AI2:AI10" si="7">IF(AND(-Z2&gt;=181,-Z2&lt;=210),D2,0)</f>
        <v>0</v>
      </c>
      <c r="AJ2" s="4">
        <f t="shared" ref="AJ2:AJ10" si="8">IF(AND(-Z2&gt;=211,-Z2&lt;=250),D2,0)</f>
        <v>0</v>
      </c>
      <c r="AK2" s="4">
        <f t="shared" ref="AK2:AK10" si="9">IF(-Z2&gt;=251,D2,0)</f>
        <v>7529.99</v>
      </c>
      <c r="AL2" s="4">
        <f t="shared" ref="AL2:AL10" si="10">SUM(AE2:AF2)</f>
        <v>0</v>
      </c>
      <c r="AM2" s="4">
        <f t="shared" ref="AM2:AM10" si="11">SUM(AG2:AK2)</f>
        <v>7529.99</v>
      </c>
      <c r="AN2" s="4">
        <f t="shared" ref="AN2:AN10" si="12">SUM(AI2:AK2)</f>
        <v>7529.99</v>
      </c>
      <c r="AO2" s="4">
        <f t="shared" ref="AO2:AO10" si="13">+IF(SUM(AC2:AK2)=0,D2,0)</f>
        <v>0</v>
      </c>
      <c r="AP2" s="4">
        <f t="shared" ref="AP2:AP10" si="14">+SUM(AC2:AK2)</f>
        <v>7529.99</v>
      </c>
      <c r="AQ2" s="4" t="e">
        <f>+#REF!+#REF!</f>
        <v>#REF!</v>
      </c>
      <c r="AR2" s="4">
        <f t="shared" ref="AR2:AR10" si="15">SUM(AG2:AK2)</f>
        <v>7529.99</v>
      </c>
      <c r="AS2" s="19" t="e">
        <f>+#REF!-#REF!</f>
        <v>#REF!</v>
      </c>
      <c r="AU2" s="5" t="e">
        <f t="shared" ref="AU2:AU10" si="16">+AR2-W2</f>
        <v>#VALUE!</v>
      </c>
    </row>
    <row r="3" spans="1:47" x14ac:dyDescent="0.25">
      <c r="A3" s="1">
        <v>45258</v>
      </c>
      <c r="B3">
        <v>252654</v>
      </c>
      <c r="C3">
        <v>1960</v>
      </c>
      <c r="D3">
        <v>660</v>
      </c>
      <c r="E3" s="2">
        <v>45288</v>
      </c>
      <c r="F3">
        <v>958</v>
      </c>
      <c r="G3" t="s">
        <v>47</v>
      </c>
      <c r="H3" t="s">
        <v>48</v>
      </c>
      <c r="I3" t="s">
        <v>59</v>
      </c>
      <c r="J3" t="s">
        <v>50</v>
      </c>
      <c r="K3" t="s">
        <v>51</v>
      </c>
      <c r="L3" t="s">
        <v>52</v>
      </c>
      <c r="M3" t="s">
        <v>60</v>
      </c>
      <c r="N3">
        <v>30</v>
      </c>
      <c r="O3" s="1">
        <v>45734</v>
      </c>
      <c r="P3" t="s">
        <v>54</v>
      </c>
      <c r="Q3" t="s">
        <v>61</v>
      </c>
      <c r="R3">
        <v>0</v>
      </c>
      <c r="S3">
        <v>122</v>
      </c>
      <c r="T3">
        <v>-63.145769999999999</v>
      </c>
      <c r="U3">
        <v>-17.806833999999998</v>
      </c>
      <c r="V3" t="s">
        <v>62</v>
      </c>
      <c r="W3" t="s">
        <v>57</v>
      </c>
      <c r="X3" t="s">
        <v>63</v>
      </c>
      <c r="Y3" s="16">
        <v>46246</v>
      </c>
      <c r="Z3" s="17">
        <f t="shared" si="0"/>
        <v>-958</v>
      </c>
      <c r="AA3" s="18" t="e">
        <f>+#REF!/#REF!</f>
        <v>#REF!</v>
      </c>
      <c r="AC3" s="4">
        <f t="shared" si="1"/>
        <v>0</v>
      </c>
      <c r="AD3" s="4">
        <f t="shared" si="2"/>
        <v>0</v>
      </c>
      <c r="AE3" s="4">
        <f t="shared" si="3"/>
        <v>0</v>
      </c>
      <c r="AF3" s="4">
        <f t="shared" si="4"/>
        <v>0</v>
      </c>
      <c r="AG3" s="4">
        <f t="shared" si="5"/>
        <v>0</v>
      </c>
      <c r="AH3" s="4">
        <f t="shared" si="6"/>
        <v>0</v>
      </c>
      <c r="AI3" s="4">
        <f t="shared" si="7"/>
        <v>0</v>
      </c>
      <c r="AJ3" s="4">
        <f t="shared" si="8"/>
        <v>0</v>
      </c>
      <c r="AK3" s="4">
        <f t="shared" si="9"/>
        <v>660</v>
      </c>
      <c r="AL3" s="4">
        <f t="shared" si="10"/>
        <v>0</v>
      </c>
      <c r="AM3" s="4">
        <f t="shared" si="11"/>
        <v>660</v>
      </c>
      <c r="AN3" s="4">
        <f t="shared" si="12"/>
        <v>660</v>
      </c>
      <c r="AO3" s="4">
        <f t="shared" si="13"/>
        <v>0</v>
      </c>
      <c r="AP3" s="4">
        <f t="shared" si="14"/>
        <v>660</v>
      </c>
      <c r="AQ3" s="4" t="e">
        <f>+#REF!+#REF!</f>
        <v>#REF!</v>
      </c>
      <c r="AR3" s="4">
        <f t="shared" si="15"/>
        <v>660</v>
      </c>
      <c r="AS3" s="19" t="e">
        <f>+#REF!-#REF!</f>
        <v>#REF!</v>
      </c>
      <c r="AU3" s="5" t="e">
        <f t="shared" si="16"/>
        <v>#VALUE!</v>
      </c>
    </row>
    <row r="4" spans="1:47" x14ac:dyDescent="0.25">
      <c r="A4" s="1">
        <v>45259</v>
      </c>
      <c r="B4">
        <v>253606</v>
      </c>
      <c r="C4">
        <v>1710.09</v>
      </c>
      <c r="D4">
        <v>1710.09</v>
      </c>
      <c r="E4" s="2">
        <v>45289</v>
      </c>
      <c r="F4">
        <v>957</v>
      </c>
      <c r="G4" t="s">
        <v>47</v>
      </c>
      <c r="H4" t="s">
        <v>48</v>
      </c>
      <c r="I4" t="s">
        <v>64</v>
      </c>
      <c r="J4" t="s">
        <v>50</v>
      </c>
      <c r="K4" t="s">
        <v>51</v>
      </c>
      <c r="L4" t="s">
        <v>52</v>
      </c>
      <c r="M4" t="s">
        <v>60</v>
      </c>
      <c r="N4">
        <v>30</v>
      </c>
      <c r="O4" s="1"/>
      <c r="P4" t="s">
        <v>54</v>
      </c>
      <c r="Q4" t="s">
        <v>65</v>
      </c>
      <c r="R4">
        <v>0</v>
      </c>
      <c r="S4">
        <v>122</v>
      </c>
      <c r="T4">
        <v>-63.120775999999999</v>
      </c>
      <c r="U4">
        <v>-17.843927000000001</v>
      </c>
      <c r="V4" t="s">
        <v>66</v>
      </c>
      <c r="W4" t="s">
        <v>57</v>
      </c>
      <c r="X4" t="s">
        <v>63</v>
      </c>
      <c r="Y4" s="16">
        <v>46246</v>
      </c>
      <c r="Z4" s="17">
        <f t="shared" si="0"/>
        <v>-957</v>
      </c>
      <c r="AA4" s="18" t="e">
        <f>+#REF!/#REF!</f>
        <v>#REF!</v>
      </c>
      <c r="AC4" s="4">
        <f t="shared" si="1"/>
        <v>0</v>
      </c>
      <c r="AD4" s="4">
        <f t="shared" si="2"/>
        <v>0</v>
      </c>
      <c r="AE4" s="4">
        <f t="shared" si="3"/>
        <v>0</v>
      </c>
      <c r="AF4" s="4">
        <f t="shared" si="4"/>
        <v>0</v>
      </c>
      <c r="AG4" s="4">
        <f t="shared" si="5"/>
        <v>0</v>
      </c>
      <c r="AH4" s="4">
        <f t="shared" si="6"/>
        <v>0</v>
      </c>
      <c r="AI4" s="4">
        <f t="shared" si="7"/>
        <v>0</v>
      </c>
      <c r="AJ4" s="4">
        <f t="shared" si="8"/>
        <v>0</v>
      </c>
      <c r="AK4" s="4">
        <f t="shared" si="9"/>
        <v>1710.09</v>
      </c>
      <c r="AL4" s="4">
        <f t="shared" si="10"/>
        <v>0</v>
      </c>
      <c r="AM4" s="4">
        <f t="shared" si="11"/>
        <v>1710.09</v>
      </c>
      <c r="AN4" s="4">
        <f t="shared" si="12"/>
        <v>1710.09</v>
      </c>
      <c r="AO4" s="4">
        <f t="shared" si="13"/>
        <v>0</v>
      </c>
      <c r="AP4" s="4">
        <f t="shared" si="14"/>
        <v>1710.09</v>
      </c>
      <c r="AQ4" s="4" t="e">
        <f>+#REF!+#REF!</f>
        <v>#REF!</v>
      </c>
      <c r="AR4" s="4">
        <f t="shared" si="15"/>
        <v>1710.09</v>
      </c>
      <c r="AS4" s="19" t="e">
        <f>+#REF!-#REF!</f>
        <v>#REF!</v>
      </c>
      <c r="AU4" s="5" t="e">
        <f t="shared" si="16"/>
        <v>#VALUE!</v>
      </c>
    </row>
    <row r="5" spans="1:47" x14ac:dyDescent="0.25">
      <c r="A5" s="1">
        <v>45261</v>
      </c>
      <c r="B5">
        <v>255405</v>
      </c>
      <c r="C5">
        <v>4980</v>
      </c>
      <c r="D5">
        <v>1140</v>
      </c>
      <c r="E5" s="2">
        <v>45291</v>
      </c>
      <c r="F5">
        <v>955</v>
      </c>
      <c r="G5" t="s">
        <v>47</v>
      </c>
      <c r="H5" t="s">
        <v>48</v>
      </c>
      <c r="I5" t="s">
        <v>67</v>
      </c>
      <c r="J5" t="s">
        <v>50</v>
      </c>
      <c r="K5" t="s">
        <v>51</v>
      </c>
      <c r="L5" t="s">
        <v>52</v>
      </c>
      <c r="M5" t="s">
        <v>68</v>
      </c>
      <c r="N5">
        <v>30</v>
      </c>
      <c r="O5" s="1">
        <v>45738</v>
      </c>
      <c r="P5" t="s">
        <v>54</v>
      </c>
      <c r="Q5" t="s">
        <v>69</v>
      </c>
      <c r="R5">
        <v>3000</v>
      </c>
      <c r="S5">
        <v>125</v>
      </c>
      <c r="T5">
        <v>-63.227203000000003</v>
      </c>
      <c r="U5">
        <v>-17.849893999999999</v>
      </c>
      <c r="V5" t="s">
        <v>70</v>
      </c>
      <c r="W5" t="s">
        <v>57</v>
      </c>
      <c r="X5" t="s">
        <v>71</v>
      </c>
      <c r="Y5" s="16">
        <v>46246</v>
      </c>
      <c r="Z5" s="17">
        <f t="shared" si="0"/>
        <v>-955</v>
      </c>
      <c r="AA5" s="18" t="e">
        <f>+#REF!/#REF!</f>
        <v>#REF!</v>
      </c>
      <c r="AC5" s="4">
        <f t="shared" si="1"/>
        <v>0</v>
      </c>
      <c r="AD5" s="4">
        <f t="shared" si="2"/>
        <v>0</v>
      </c>
      <c r="AE5" s="4">
        <f t="shared" si="3"/>
        <v>0</v>
      </c>
      <c r="AF5" s="4">
        <f t="shared" si="4"/>
        <v>0</v>
      </c>
      <c r="AG5" s="4">
        <f t="shared" si="5"/>
        <v>0</v>
      </c>
      <c r="AH5" s="4">
        <f t="shared" si="6"/>
        <v>0</v>
      </c>
      <c r="AI5" s="4">
        <f t="shared" si="7"/>
        <v>0</v>
      </c>
      <c r="AJ5" s="4">
        <f t="shared" si="8"/>
        <v>0</v>
      </c>
      <c r="AK5" s="4">
        <f t="shared" si="9"/>
        <v>1140</v>
      </c>
      <c r="AL5" s="4">
        <f t="shared" si="10"/>
        <v>0</v>
      </c>
      <c r="AM5" s="4">
        <f t="shared" si="11"/>
        <v>1140</v>
      </c>
      <c r="AN5" s="4">
        <f t="shared" si="12"/>
        <v>1140</v>
      </c>
      <c r="AO5" s="4">
        <f t="shared" si="13"/>
        <v>0</v>
      </c>
      <c r="AP5" s="4">
        <f t="shared" si="14"/>
        <v>1140</v>
      </c>
      <c r="AQ5" s="4" t="e">
        <f>+#REF!+#REF!</f>
        <v>#REF!</v>
      </c>
      <c r="AR5" s="4">
        <f t="shared" si="15"/>
        <v>1140</v>
      </c>
      <c r="AS5" s="19" t="e">
        <f>+#REF!-#REF!</f>
        <v>#REF!</v>
      </c>
      <c r="AU5" s="5" t="e">
        <f t="shared" si="16"/>
        <v>#VALUE!</v>
      </c>
    </row>
    <row r="6" spans="1:47" x14ac:dyDescent="0.25">
      <c r="A6" s="1">
        <v>45265</v>
      </c>
      <c r="B6">
        <v>258724</v>
      </c>
      <c r="C6">
        <v>640</v>
      </c>
      <c r="D6">
        <v>640</v>
      </c>
      <c r="E6" s="2">
        <v>45295</v>
      </c>
      <c r="F6">
        <v>951</v>
      </c>
      <c r="G6" t="s">
        <v>47</v>
      </c>
      <c r="H6" t="s">
        <v>48</v>
      </c>
      <c r="I6" t="s">
        <v>59</v>
      </c>
      <c r="J6" t="s">
        <v>50</v>
      </c>
      <c r="K6" t="s">
        <v>51</v>
      </c>
      <c r="L6" t="s">
        <v>52</v>
      </c>
      <c r="M6" t="s">
        <v>60</v>
      </c>
      <c r="N6">
        <v>30</v>
      </c>
      <c r="O6" s="1"/>
      <c r="P6" t="s">
        <v>54</v>
      </c>
      <c r="Q6" t="s">
        <v>61</v>
      </c>
      <c r="R6">
        <v>0</v>
      </c>
      <c r="S6">
        <v>122</v>
      </c>
      <c r="T6">
        <v>-63.145769999999999</v>
      </c>
      <c r="U6">
        <v>-17.806833999999998</v>
      </c>
      <c r="V6" t="s">
        <v>62</v>
      </c>
      <c r="W6" t="s">
        <v>57</v>
      </c>
      <c r="X6" t="s">
        <v>63</v>
      </c>
      <c r="Y6" s="16">
        <v>46246</v>
      </c>
      <c r="Z6" s="17">
        <f t="shared" si="0"/>
        <v>-951</v>
      </c>
      <c r="AA6" s="18" t="e">
        <f>+#REF!/#REF!</f>
        <v>#REF!</v>
      </c>
      <c r="AC6" s="4">
        <f t="shared" si="1"/>
        <v>0</v>
      </c>
      <c r="AD6" s="4">
        <f t="shared" si="2"/>
        <v>0</v>
      </c>
      <c r="AE6" s="4">
        <f t="shared" si="3"/>
        <v>0</v>
      </c>
      <c r="AF6" s="4">
        <f t="shared" si="4"/>
        <v>0</v>
      </c>
      <c r="AG6" s="4">
        <f t="shared" si="5"/>
        <v>0</v>
      </c>
      <c r="AH6" s="4">
        <f t="shared" si="6"/>
        <v>0</v>
      </c>
      <c r="AI6" s="4">
        <f t="shared" si="7"/>
        <v>0</v>
      </c>
      <c r="AJ6" s="4">
        <f t="shared" si="8"/>
        <v>0</v>
      </c>
      <c r="AK6" s="4">
        <f t="shared" si="9"/>
        <v>640</v>
      </c>
      <c r="AL6" s="4">
        <f t="shared" si="10"/>
        <v>0</v>
      </c>
      <c r="AM6" s="4">
        <f t="shared" si="11"/>
        <v>640</v>
      </c>
      <c r="AN6" s="4">
        <f t="shared" si="12"/>
        <v>640</v>
      </c>
      <c r="AO6" s="4">
        <f t="shared" si="13"/>
        <v>0</v>
      </c>
      <c r="AP6" s="4">
        <f t="shared" si="14"/>
        <v>640</v>
      </c>
      <c r="AQ6" s="4" t="e">
        <f>+#REF!+#REF!</f>
        <v>#REF!</v>
      </c>
      <c r="AR6" s="4">
        <f t="shared" si="15"/>
        <v>640</v>
      </c>
      <c r="AS6" s="19" t="e">
        <f>+#REF!-#REF!</f>
        <v>#REF!</v>
      </c>
      <c r="AU6" s="5" t="e">
        <f t="shared" si="16"/>
        <v>#VALUE!</v>
      </c>
    </row>
    <row r="7" spans="1:47" x14ac:dyDescent="0.25">
      <c r="A7" s="1">
        <v>45266</v>
      </c>
      <c r="B7">
        <v>259077</v>
      </c>
      <c r="C7">
        <v>1661.99</v>
      </c>
      <c r="D7">
        <v>961.99</v>
      </c>
      <c r="E7" s="2">
        <v>45296</v>
      </c>
      <c r="F7">
        <v>950</v>
      </c>
      <c r="G7" t="s">
        <v>47</v>
      </c>
      <c r="H7" t="s">
        <v>48</v>
      </c>
      <c r="I7" t="s">
        <v>72</v>
      </c>
      <c r="J7" t="s">
        <v>50</v>
      </c>
      <c r="K7" t="s">
        <v>51</v>
      </c>
      <c r="L7" t="s">
        <v>52</v>
      </c>
      <c r="M7" t="s">
        <v>60</v>
      </c>
      <c r="N7">
        <v>30</v>
      </c>
      <c r="O7" s="1">
        <v>45603</v>
      </c>
      <c r="P7" t="s">
        <v>54</v>
      </c>
      <c r="Q7" t="s">
        <v>73</v>
      </c>
      <c r="R7">
        <v>0</v>
      </c>
      <c r="S7">
        <v>122</v>
      </c>
      <c r="T7">
        <v>-63.120413999999997</v>
      </c>
      <c r="U7">
        <v>-17.842950999999999</v>
      </c>
      <c r="V7" t="s">
        <v>74</v>
      </c>
      <c r="W7" t="s">
        <v>57</v>
      </c>
      <c r="X7" t="s">
        <v>75</v>
      </c>
      <c r="Y7" s="16">
        <v>46246</v>
      </c>
      <c r="Z7" s="17">
        <f t="shared" si="0"/>
        <v>-950</v>
      </c>
      <c r="AA7" s="18" t="e">
        <f>+#REF!/#REF!</f>
        <v>#REF!</v>
      </c>
      <c r="AC7" s="4">
        <f t="shared" si="1"/>
        <v>0</v>
      </c>
      <c r="AD7" s="4">
        <f t="shared" si="2"/>
        <v>0</v>
      </c>
      <c r="AE7" s="4">
        <f t="shared" si="3"/>
        <v>0</v>
      </c>
      <c r="AF7" s="4">
        <f t="shared" si="4"/>
        <v>0</v>
      </c>
      <c r="AG7" s="4">
        <f t="shared" si="5"/>
        <v>0</v>
      </c>
      <c r="AH7" s="4">
        <f t="shared" si="6"/>
        <v>0</v>
      </c>
      <c r="AI7" s="4">
        <f t="shared" si="7"/>
        <v>0</v>
      </c>
      <c r="AJ7" s="4">
        <f t="shared" si="8"/>
        <v>0</v>
      </c>
      <c r="AK7" s="4">
        <f t="shared" si="9"/>
        <v>961.99</v>
      </c>
      <c r="AL7" s="4">
        <f t="shared" si="10"/>
        <v>0</v>
      </c>
      <c r="AM7" s="4">
        <f t="shared" si="11"/>
        <v>961.99</v>
      </c>
      <c r="AN7" s="4">
        <f t="shared" si="12"/>
        <v>961.99</v>
      </c>
      <c r="AO7" s="4">
        <f t="shared" si="13"/>
        <v>0</v>
      </c>
      <c r="AP7" s="4">
        <f t="shared" si="14"/>
        <v>961.99</v>
      </c>
      <c r="AQ7" s="4" t="e">
        <f>+#REF!+#REF!</f>
        <v>#REF!</v>
      </c>
      <c r="AR7" s="4">
        <f t="shared" si="15"/>
        <v>961.99</v>
      </c>
      <c r="AS7" s="19" t="e">
        <f>+#REF!-#REF!</f>
        <v>#REF!</v>
      </c>
      <c r="AU7" s="5" t="e">
        <f t="shared" si="16"/>
        <v>#VALUE!</v>
      </c>
    </row>
    <row r="8" spans="1:47" x14ac:dyDescent="0.25">
      <c r="A8" s="1">
        <v>45274</v>
      </c>
      <c r="B8">
        <v>264978</v>
      </c>
      <c r="C8">
        <v>1280</v>
      </c>
      <c r="D8">
        <v>980</v>
      </c>
      <c r="E8" s="2">
        <v>45304</v>
      </c>
      <c r="F8">
        <v>942</v>
      </c>
      <c r="G8" t="s">
        <v>47</v>
      </c>
      <c r="H8" t="s">
        <v>48</v>
      </c>
      <c r="I8" t="s">
        <v>76</v>
      </c>
      <c r="J8" t="s">
        <v>50</v>
      </c>
      <c r="K8" t="s">
        <v>51</v>
      </c>
      <c r="L8" t="s">
        <v>52</v>
      </c>
      <c r="M8" t="s">
        <v>60</v>
      </c>
      <c r="N8">
        <v>30</v>
      </c>
      <c r="O8" s="1">
        <v>45307</v>
      </c>
      <c r="P8" t="s">
        <v>54</v>
      </c>
      <c r="Q8" t="s">
        <v>77</v>
      </c>
      <c r="R8">
        <v>0</v>
      </c>
      <c r="S8">
        <v>122</v>
      </c>
      <c r="T8">
        <v>-63.133285000000001</v>
      </c>
      <c r="U8">
        <v>-17.833646999999999</v>
      </c>
      <c r="V8" t="s">
        <v>78</v>
      </c>
      <c r="W8" t="s">
        <v>57</v>
      </c>
      <c r="X8" t="s">
        <v>63</v>
      </c>
      <c r="Y8" s="16">
        <v>46246</v>
      </c>
      <c r="Z8" s="17">
        <f t="shared" si="0"/>
        <v>-942</v>
      </c>
      <c r="AA8" s="18" t="e">
        <f>+#REF!/#REF!</f>
        <v>#REF!</v>
      </c>
      <c r="AC8" s="4">
        <f t="shared" si="1"/>
        <v>0</v>
      </c>
      <c r="AD8" s="4">
        <f t="shared" si="2"/>
        <v>0</v>
      </c>
      <c r="AE8" s="4">
        <f t="shared" si="3"/>
        <v>0</v>
      </c>
      <c r="AF8" s="4">
        <f t="shared" si="4"/>
        <v>0</v>
      </c>
      <c r="AG8" s="4">
        <f t="shared" si="5"/>
        <v>0</v>
      </c>
      <c r="AH8" s="4">
        <f t="shared" si="6"/>
        <v>0</v>
      </c>
      <c r="AI8" s="4">
        <f t="shared" si="7"/>
        <v>0</v>
      </c>
      <c r="AJ8" s="4">
        <f t="shared" si="8"/>
        <v>0</v>
      </c>
      <c r="AK8" s="4">
        <f t="shared" si="9"/>
        <v>980</v>
      </c>
      <c r="AL8" s="4">
        <f t="shared" si="10"/>
        <v>0</v>
      </c>
      <c r="AM8" s="4">
        <f t="shared" si="11"/>
        <v>980</v>
      </c>
      <c r="AN8" s="4">
        <f t="shared" si="12"/>
        <v>980</v>
      </c>
      <c r="AO8" s="4">
        <f t="shared" si="13"/>
        <v>0</v>
      </c>
      <c r="AP8" s="4">
        <f t="shared" si="14"/>
        <v>980</v>
      </c>
      <c r="AQ8" s="4" t="e">
        <f>+#REF!+#REF!</f>
        <v>#REF!</v>
      </c>
      <c r="AR8" s="4">
        <f t="shared" si="15"/>
        <v>980</v>
      </c>
      <c r="AS8" s="19" t="e">
        <f>+#REF!-#REF!</f>
        <v>#REF!</v>
      </c>
      <c r="AU8" s="5" t="e">
        <f t="shared" si="16"/>
        <v>#VALUE!</v>
      </c>
    </row>
    <row r="9" spans="1:47" x14ac:dyDescent="0.25">
      <c r="A9" s="1">
        <v>45283</v>
      </c>
      <c r="B9">
        <v>271891</v>
      </c>
      <c r="C9">
        <v>2560</v>
      </c>
      <c r="D9">
        <v>1960</v>
      </c>
      <c r="E9" s="2">
        <v>45313</v>
      </c>
      <c r="F9">
        <v>933</v>
      </c>
      <c r="G9" t="s">
        <v>47</v>
      </c>
      <c r="H9" t="s">
        <v>48</v>
      </c>
      <c r="I9" t="s">
        <v>79</v>
      </c>
      <c r="J9" t="s">
        <v>50</v>
      </c>
      <c r="K9" t="s">
        <v>51</v>
      </c>
      <c r="L9" t="s">
        <v>52</v>
      </c>
      <c r="M9" t="s">
        <v>60</v>
      </c>
      <c r="N9">
        <v>30</v>
      </c>
      <c r="O9" s="1">
        <v>46029</v>
      </c>
      <c r="P9" t="s">
        <v>54</v>
      </c>
      <c r="Q9" t="s">
        <v>80</v>
      </c>
      <c r="R9">
        <v>0</v>
      </c>
      <c r="S9">
        <v>122</v>
      </c>
      <c r="T9">
        <v>-63.127521999999999</v>
      </c>
      <c r="U9">
        <v>-17.832257999999999</v>
      </c>
      <c r="V9" t="s">
        <v>81</v>
      </c>
      <c r="W9" t="s">
        <v>57</v>
      </c>
      <c r="X9" t="s">
        <v>82</v>
      </c>
      <c r="Y9" s="16">
        <v>46246</v>
      </c>
      <c r="Z9" s="17">
        <f t="shared" si="0"/>
        <v>-933</v>
      </c>
      <c r="AA9" s="18" t="e">
        <f>+#REF!/#REF!</f>
        <v>#REF!</v>
      </c>
      <c r="AC9" s="4">
        <f t="shared" si="1"/>
        <v>0</v>
      </c>
      <c r="AD9" s="4">
        <f t="shared" si="2"/>
        <v>0</v>
      </c>
      <c r="AE9" s="4">
        <f t="shared" si="3"/>
        <v>0</v>
      </c>
      <c r="AF9" s="4">
        <f t="shared" si="4"/>
        <v>0</v>
      </c>
      <c r="AG9" s="4">
        <f t="shared" si="5"/>
        <v>0</v>
      </c>
      <c r="AH9" s="4">
        <f t="shared" si="6"/>
        <v>0</v>
      </c>
      <c r="AI9" s="4">
        <f t="shared" si="7"/>
        <v>0</v>
      </c>
      <c r="AJ9" s="4">
        <f t="shared" si="8"/>
        <v>0</v>
      </c>
      <c r="AK9" s="4">
        <f t="shared" si="9"/>
        <v>1960</v>
      </c>
      <c r="AL9" s="4">
        <f t="shared" si="10"/>
        <v>0</v>
      </c>
      <c r="AM9" s="4">
        <f t="shared" si="11"/>
        <v>1960</v>
      </c>
      <c r="AN9" s="4">
        <f t="shared" si="12"/>
        <v>1960</v>
      </c>
      <c r="AO9" s="4">
        <f t="shared" si="13"/>
        <v>0</v>
      </c>
      <c r="AP9" s="4">
        <f t="shared" si="14"/>
        <v>1960</v>
      </c>
      <c r="AQ9" s="4" t="e">
        <f>+#REF!+#REF!</f>
        <v>#REF!</v>
      </c>
      <c r="AR9" s="4">
        <f t="shared" si="15"/>
        <v>1960</v>
      </c>
      <c r="AS9" s="19" t="e">
        <f>+#REF!-#REF!</f>
        <v>#REF!</v>
      </c>
      <c r="AU9" s="5" t="e">
        <f t="shared" si="16"/>
        <v>#VALUE!</v>
      </c>
    </row>
    <row r="10" spans="1:47" x14ac:dyDescent="0.25">
      <c r="A10" s="1">
        <v>45322</v>
      </c>
      <c r="B10">
        <v>18996</v>
      </c>
      <c r="C10">
        <v>9000</v>
      </c>
      <c r="D10">
        <v>4500</v>
      </c>
      <c r="E10" s="2">
        <v>45352</v>
      </c>
      <c r="F10">
        <v>894</v>
      </c>
      <c r="G10" t="s">
        <v>47</v>
      </c>
      <c r="H10" t="s">
        <v>48</v>
      </c>
      <c r="I10" t="s">
        <v>83</v>
      </c>
      <c r="J10" t="s">
        <v>50</v>
      </c>
      <c r="K10" t="s">
        <v>51</v>
      </c>
      <c r="L10" t="s">
        <v>52</v>
      </c>
      <c r="M10" t="s">
        <v>84</v>
      </c>
      <c r="N10">
        <v>30</v>
      </c>
      <c r="O10" s="1">
        <v>45560</v>
      </c>
      <c r="P10" t="s">
        <v>54</v>
      </c>
      <c r="Q10" t="s">
        <v>85</v>
      </c>
      <c r="R10">
        <v>0</v>
      </c>
      <c r="S10">
        <v>124</v>
      </c>
      <c r="T10">
        <v>-63.132088000000003</v>
      </c>
      <c r="U10">
        <v>-17.798372000000001</v>
      </c>
      <c r="V10" t="s">
        <v>86</v>
      </c>
      <c r="W10" t="s">
        <v>57</v>
      </c>
      <c r="X10" t="s">
        <v>87</v>
      </c>
      <c r="Y10" s="16">
        <v>46246</v>
      </c>
      <c r="Z10" s="17">
        <f t="shared" si="0"/>
        <v>-894</v>
      </c>
      <c r="AA10" s="18" t="e">
        <f>+#REF!/#REF!</f>
        <v>#REF!</v>
      </c>
      <c r="AC10" s="4">
        <f t="shared" si="1"/>
        <v>0</v>
      </c>
      <c r="AD10" s="4">
        <f t="shared" si="2"/>
        <v>0</v>
      </c>
      <c r="AE10" s="4">
        <f t="shared" si="3"/>
        <v>0</v>
      </c>
      <c r="AF10" s="4">
        <f t="shared" si="4"/>
        <v>0</v>
      </c>
      <c r="AG10" s="4">
        <f t="shared" si="5"/>
        <v>0</v>
      </c>
      <c r="AH10" s="4">
        <f t="shared" si="6"/>
        <v>0</v>
      </c>
      <c r="AI10" s="4">
        <f t="shared" si="7"/>
        <v>0</v>
      </c>
      <c r="AJ10" s="4">
        <f t="shared" si="8"/>
        <v>0</v>
      </c>
      <c r="AK10" s="4">
        <f t="shared" si="9"/>
        <v>4500</v>
      </c>
      <c r="AL10" s="4">
        <f t="shared" si="10"/>
        <v>0</v>
      </c>
      <c r="AM10" s="4">
        <f t="shared" si="11"/>
        <v>4500</v>
      </c>
      <c r="AN10" s="4">
        <f t="shared" si="12"/>
        <v>4500</v>
      </c>
      <c r="AO10" s="4">
        <f t="shared" si="13"/>
        <v>0</v>
      </c>
      <c r="AP10" s="4">
        <f t="shared" si="14"/>
        <v>4500</v>
      </c>
      <c r="AQ10" s="4" t="e">
        <f>+#REF!+#REF!</f>
        <v>#REF!</v>
      </c>
      <c r="AR10" s="4">
        <f t="shared" si="15"/>
        <v>4500</v>
      </c>
      <c r="AS10" s="19" t="e">
        <f>+#REF!-#REF!</f>
        <v>#REF!</v>
      </c>
      <c r="AU10" s="5" t="e">
        <f t="shared" si="16"/>
        <v>#VALUE!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 BBO SA (12-08-2026)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Oroza Rosales</dc:creator>
  <cp:lastModifiedBy>Julio Cesar Veliz Gallardo</cp:lastModifiedBy>
  <dcterms:created xsi:type="dcterms:W3CDTF">2024-12-06T15:55:31Z</dcterms:created>
  <dcterms:modified xsi:type="dcterms:W3CDTF">2026-09-22T13:18:40Z</dcterms:modified>
</cp:coreProperties>
</file>